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 ### ### ### ### ### ### ### ### ### ##0"/>
  </numFmts>
  <fonts count="8">
    <font>
      <name val="Arial"/>
      <color rgb="FF000000"/>
      <sz val="10"/>
      <scheme val="minor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  <font>
      <name val="Arial"/>
      <color theme="1"/>
      <scheme val="minor"/>
    </font>
    <font>
      <name val="Arial"/>
      <b val="1"/>
      <color theme="1"/>
      <scheme val="minor"/>
    </font>
    <font/>
    <font>
      <b val="1"/>
      <color rgb="00000000"/>
      <sz val="12"/>
    </font>
    <font>
      <b val="1"/>
      <color rgb="00000000"/>
    </font>
  </fonts>
  <fills count="4">
    <fill>
      <patternFill/>
    </fill>
    <fill>
      <patternFill patternType="lightGray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4">
    <xf numFmtId="0" fontId="0" fillId="0" borderId="0"/>
    <xf numFmtId="0" fontId="6" fillId="0" borderId="0"/>
    <xf numFmtId="164" fontId="7" fillId="2" borderId="6" applyAlignment="1">
      <alignment wrapText="1"/>
    </xf>
    <xf numFmtId="164" fontId="5" fillId="0" borderId="6" applyAlignment="1">
      <alignment wrapText="1"/>
    </xf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2" pivotButton="0" quotePrefix="0" xfId="0"/>
    <xf numFmtId="0" fontId="4" fillId="0" borderId="3" applyAlignment="1" pivotButton="0" quotePrefix="0" xfId="0">
      <alignment horizontal="center"/>
    </xf>
    <xf numFmtId="0" fontId="4" fillId="0" borderId="3" pivotButton="0" quotePrefix="0" xfId="0"/>
    <xf numFmtId="0" fontId="3" fillId="0" borderId="3" pivotButton="0" quotePrefix="0" xfId="0"/>
    <xf numFmtId="0" fontId="0" fillId="0" borderId="0" pivotButton="0" quotePrefix="0" xfId="0"/>
    <xf numFmtId="0" fontId="6" fillId="0" borderId="0" pivotButton="0" quotePrefix="0" xfId="1"/>
    <xf numFmtId="0" fontId="0" fillId="0" borderId="2" pivotButton="0" quotePrefix="0" xfId="0"/>
    <xf numFmtId="164" fontId="7" fillId="2" borderId="6" applyAlignment="1" pivotButton="0" quotePrefix="0" xfId="2">
      <alignment wrapText="1"/>
    </xf>
    <xf numFmtId="164" fontId="5" fillId="0" borderId="6" applyAlignment="1" pivotButton="0" quotePrefix="0" xfId="3">
      <alignment wrapText="1"/>
    </xf>
    <xf numFmtId="164" fontId="7" fillId="3" borderId="6" applyAlignment="1" pivotButton="0" quotePrefix="0" xfId="2">
      <alignment wrapText="1"/>
    </xf>
  </cellXfs>
  <cellStyles count="4">
    <cellStyle name="Normal" xfId="0" builtinId="0"/>
    <cellStyle name="head_cell" xfId="1" hidden="0"/>
    <cellStyle name="headers_style" xfId="2" hidden="0"/>
    <cellStyle name="general_style" xfId="3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7"/>
  <sheetViews>
    <sheetView workbookViewId="0">
      <selection activeCell="A1" sqref="A1"/>
    </sheetView>
  </sheetViews>
  <sheetFormatPr baseColWidth="8" defaultColWidth="12.63" defaultRowHeight="15.75" customHeight="1"/>
  <cols>
    <col width="39.25" customWidth="1" style="11" min="1" max="1"/>
    <col width="9.25" customWidth="1" style="11" min="4" max="4"/>
    <col width="14.13" customWidth="1" style="11" min="5" max="5"/>
    <col width="7.75" customWidth="1" style="11" min="7" max="7"/>
  </cols>
  <sheetData>
    <row r="1">
      <c r="A1" s="12" t="inlineStr">
        <is>
          <t>СРАВНИТЬ С 10-10-2023 ПО 10-10-2023 ПРОТИВ 10-10-2024 ПО 10-10-2024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Параметры:</t>
        </is>
      </c>
      <c r="B2" s="4" t="n"/>
      <c r="C2" s="4" t="n"/>
      <c r="D2" s="5" t="n"/>
      <c r="E2" s="4" t="n"/>
      <c r="F2" s="4" t="n"/>
      <c r="G2" s="5" t="n"/>
      <c r="H2" s="4" t="n"/>
      <c r="I2" s="4" t="n"/>
    </row>
    <row r="3">
      <c r="A3" s="3" t="inlineStr">
        <is>
          <t>Прошлый период: 10-10-2023 по 10-10-2023</t>
        </is>
      </c>
      <c r="B3" s="4" t="n"/>
      <c r="C3" s="4" t="n"/>
      <c r="D3" s="5" t="n"/>
      <c r="E3" s="4" t="n"/>
      <c r="F3" s="4" t="n"/>
      <c r="G3" s="5" t="n"/>
      <c r="H3" s="4" t="n"/>
      <c r="I3" s="4" t="n"/>
    </row>
    <row r="4">
      <c r="A4" s="3" t="inlineStr">
        <is>
          <t>Текущий период: 10-10-2024 по 10-10-2024</t>
        </is>
      </c>
      <c r="B4" s="4" t="n"/>
      <c r="C4" s="4" t="n"/>
      <c r="D4" s="5" t="n"/>
      <c r="E4" s="4" t="n"/>
      <c r="F4" s="4" t="n"/>
      <c r="G4" s="5" t="n"/>
      <c r="H4" s="4" t="n"/>
      <c r="I4" s="4" t="n"/>
    </row>
    <row r="5">
      <c r="B5" s="4" t="n"/>
      <c r="C5" s="4" t="n"/>
      <c r="D5" s="5" t="n"/>
      <c r="E5" s="4" t="n"/>
      <c r="F5" s="4" t="n"/>
      <c r="G5" s="5" t="n"/>
      <c r="H5" s="4" t="n"/>
      <c r="I5" s="4" t="n"/>
    </row>
    <row r="6">
      <c r="B6" s="8" t="inlineStr">
        <is>
          <t>Кол-во коробок</t>
        </is>
      </c>
      <c r="C6" s="13" t="n"/>
      <c r="D6" s="5" t="n"/>
      <c r="E6" s="8" t="inlineStr">
        <is>
          <t>Сумма отгрузки</t>
        </is>
      </c>
      <c r="F6" s="13" t="n"/>
      <c r="G6" s="5" t="n"/>
      <c r="H6" s="8" t="inlineStr">
        <is>
          <t>Сумма / Кор</t>
        </is>
      </c>
      <c r="I6" s="13" t="n"/>
    </row>
    <row r="7">
      <c r="B7" s="8" t="inlineStr">
        <is>
          <t>прошлый</t>
        </is>
      </c>
      <c r="C7" s="8" t="inlineStr">
        <is>
          <t>текущий</t>
        </is>
      </c>
      <c r="E7" s="8" t="inlineStr">
        <is>
          <t>прошлый</t>
        </is>
      </c>
      <c r="F7" s="8" t="inlineStr">
        <is>
          <t>текущий</t>
        </is>
      </c>
      <c r="H7" s="8" t="inlineStr">
        <is>
          <t>прошлый</t>
        </is>
      </c>
      <c r="I7" s="8" t="inlineStr">
        <is>
          <t>текущий</t>
        </is>
      </c>
    </row>
    <row r="8">
      <c r="B8" s="8" t="inlineStr">
        <is>
          <t>период 1</t>
        </is>
      </c>
      <c r="C8" s="8" t="inlineStr">
        <is>
          <t>период 2</t>
        </is>
      </c>
      <c r="E8" s="8" t="inlineStr">
        <is>
          <t>период 1</t>
        </is>
      </c>
      <c r="F8" s="8" t="inlineStr">
        <is>
          <t>период 2</t>
        </is>
      </c>
      <c r="H8" s="8" t="inlineStr">
        <is>
          <t>период 1</t>
        </is>
      </c>
      <c r="I8" s="8" t="inlineStr">
        <is>
          <t>период 2</t>
        </is>
      </c>
    </row>
    <row r="9">
      <c r="B9" s="8" t="inlineStr">
        <is>
          <t>кор</t>
        </is>
      </c>
      <c r="C9" s="8" t="inlineStr">
        <is>
          <t>кор</t>
        </is>
      </c>
      <c r="E9" s="8" t="inlineStr">
        <is>
          <t>тенге</t>
        </is>
      </c>
      <c r="F9" s="8" t="inlineStr">
        <is>
          <t>тенге</t>
        </is>
      </c>
      <c r="H9" s="8" t="inlineStr">
        <is>
          <t>тенге/кор</t>
        </is>
      </c>
      <c r="I9" s="8" t="inlineStr">
        <is>
          <t>тенге/кор</t>
        </is>
      </c>
    </row>
    <row r="10">
      <c r="A10" s="9" t="inlineStr">
        <is>
          <t>магазины / клиенты</t>
        </is>
      </c>
      <c r="B10" s="10" t="n"/>
      <c r="C10" s="10" t="n"/>
      <c r="E10" s="10" t="n"/>
      <c r="F10" s="10" t="n"/>
      <c r="H10" s="10" t="n"/>
      <c r="I10" s="10" t="n"/>
    </row>
    <row r="11">
      <c r="A11" s="14" t="inlineStr">
        <is>
          <t>НЕНАЗНАЧЕН</t>
        </is>
      </c>
      <c r="B11" s="14">
        <f>SUM(B12:B26)</f>
        <v/>
      </c>
      <c r="C11" s="14">
        <f>SUM(C12:C26)</f>
        <v/>
      </c>
      <c r="E11" s="14">
        <f>SUM(E12:E26)</f>
        <v/>
      </c>
      <c r="F11" s="14">
        <f>SUM(F12:F26)</f>
        <v/>
      </c>
      <c r="H11" s="14">
        <f>E11/B11</f>
        <v/>
      </c>
      <c r="I11" s="14">
        <f>F11/C11</f>
        <v/>
      </c>
    </row>
    <row r="12" hidden="1" outlineLevel="1" s="11">
      <c r="A12" s="15" t="inlineStr">
        <is>
          <t>ДЭЛИ МАРТ-ШАХРИСТАН</t>
        </is>
      </c>
      <c r="B12" s="15" t="n"/>
      <c r="C12" s="15" t="n">
        <v>0</v>
      </c>
      <c r="E12" s="15">
        <f>0</f>
        <v/>
      </c>
      <c r="F12" s="15">
        <f>0</f>
        <v/>
      </c>
      <c r="H12" s="15">
        <f>E12/B12</f>
        <v/>
      </c>
      <c r="I12" s="15">
        <f>F12/C12</f>
        <v/>
      </c>
    </row>
    <row r="13" hidden="1" outlineLevel="1" s="11">
      <c r="A13" s="15" t="inlineStr">
        <is>
          <t>Магазин ALA61 г.Алматы ТОО Скиф Трейд</t>
        </is>
      </c>
      <c r="B13" s="15" t="n"/>
      <c r="C13" s="15" t="n">
        <v>0</v>
      </c>
      <c r="E13" s="15">
        <f>0</f>
        <v/>
      </c>
      <c r="F13" s="15">
        <f>0</f>
        <v/>
      </c>
      <c r="H13" s="15">
        <f>E13/B13</f>
        <v/>
      </c>
      <c r="I13" s="15">
        <f>F13/C13</f>
        <v/>
      </c>
    </row>
    <row r="14" hidden="1" outlineLevel="1" s="11">
      <c r="A14" s="15" t="inlineStr">
        <is>
          <t>АЗС №42 ТОО "Роял Фуд Сити"</t>
        </is>
      </c>
      <c r="B14" s="15" t="n"/>
      <c r="C14" s="15" t="n">
        <v>3</v>
      </c>
      <c r="E14" s="15">
        <f>0</f>
        <v/>
      </c>
      <c r="F14" s="15">
        <f>516763</f>
        <v/>
      </c>
      <c r="H14" s="15">
        <f>E14/B14</f>
        <v/>
      </c>
      <c r="I14" s="15">
        <f>F14/C14</f>
        <v/>
      </c>
    </row>
    <row r="15" hidden="1" outlineLevel="1" s="11">
      <c r="A15" s="15" t="inlineStr">
        <is>
          <t>Филиал ТОО SURAYA  Розыбакиева</t>
        </is>
      </c>
      <c r="B15" s="15" t="n"/>
      <c r="C15" s="15" t="n">
        <v>0</v>
      </c>
      <c r="E15" s="15">
        <f>0</f>
        <v/>
      </c>
      <c r="F15" s="15">
        <f>0</f>
        <v/>
      </c>
      <c r="H15" s="15">
        <f>E15/B15</f>
        <v/>
      </c>
      <c r="I15" s="15">
        <f>F15/C15</f>
        <v/>
      </c>
    </row>
    <row r="16" hidden="1" outlineLevel="1" s="11">
      <c r="A16" s="15" t="inlineStr">
        <is>
          <t>ТОО Новая АЗС-Талгар"</t>
        </is>
      </c>
      <c r="B16" s="15" t="n"/>
      <c r="C16" s="15" t="n">
        <v>5</v>
      </c>
      <c r="E16" s="15">
        <f>0</f>
        <v/>
      </c>
      <c r="F16" s="15">
        <f>465252</f>
        <v/>
      </c>
      <c r="H16" s="15">
        <f>E16/B16</f>
        <v/>
      </c>
      <c r="I16" s="15">
        <f>F16/C16</f>
        <v/>
      </c>
    </row>
    <row r="17" hidden="1" outlineLevel="1" s="11">
      <c r="A17" s="15" t="inlineStr">
        <is>
          <t>ТОО Дария-2012</t>
        </is>
      </c>
      <c r="B17" s="15" t="n">
        <v>3</v>
      </c>
      <c r="C17" s="15" t="n"/>
      <c r="E17" s="15">
        <f>312255</f>
        <v/>
      </c>
      <c r="F17" s="15">
        <f>0</f>
        <v/>
      </c>
      <c r="H17" s="15">
        <f>E17/B17</f>
        <v/>
      </c>
      <c r="I17" s="15">
        <f>F17/C17</f>
        <v/>
      </c>
    </row>
    <row r="18" hidden="1" outlineLevel="1" s="11">
      <c r="A18" s="15" t="inlineStr">
        <is>
          <t>ТОО Анвар</t>
        </is>
      </c>
      <c r="B18" s="15" t="n">
        <v>20</v>
      </c>
      <c r="C18" s="15" t="n"/>
      <c r="E18" s="15">
        <f>373240+370224+334642+408446+402320+396828</f>
        <v/>
      </c>
      <c r="F18" s="15">
        <f>0</f>
        <v/>
      </c>
      <c r="H18" s="15">
        <f>E18/B18</f>
        <v/>
      </c>
      <c r="I18" s="15">
        <f>F18/C18</f>
        <v/>
      </c>
    </row>
    <row r="19" hidden="1" outlineLevel="1" s="11">
      <c r="A19" s="15" t="inlineStr">
        <is>
          <t>Асторг Нуркент ТОО</t>
        </is>
      </c>
      <c r="B19" s="15" t="n"/>
      <c r="C19" s="15" t="n">
        <v>5</v>
      </c>
      <c r="E19" s="15">
        <f>0</f>
        <v/>
      </c>
      <c r="F19" s="15">
        <f>296085</f>
        <v/>
      </c>
      <c r="H19" s="15">
        <f>E19/B19</f>
        <v/>
      </c>
      <c r="I19" s="15">
        <f>F19/C19</f>
        <v/>
      </c>
    </row>
    <row r="20" hidden="1" outlineLevel="1" s="11">
      <c r="A20" s="15" t="inlineStr">
        <is>
          <t>ТОО АСТОРГ Брусиловский</t>
        </is>
      </c>
      <c r="B20" s="15" t="n"/>
      <c r="C20" s="15" t="n">
        <v>4</v>
      </c>
      <c r="E20" s="15">
        <f>0</f>
        <v/>
      </c>
      <c r="F20" s="15">
        <f>270821</f>
        <v/>
      </c>
      <c r="H20" s="15">
        <f>E20/B20</f>
        <v/>
      </c>
      <c r="I20" s="15">
        <f>F20/C20</f>
        <v/>
      </c>
    </row>
    <row r="21" hidden="1" outlineLevel="1" s="11">
      <c r="A21" s="15" t="inlineStr">
        <is>
          <t>Магазин ALA56 г.Алматы ТОО Скиф Трейд</t>
        </is>
      </c>
      <c r="B21" s="15" t="n">
        <v>4</v>
      </c>
      <c r="C21" s="15" t="n"/>
      <c r="E21" s="15">
        <f>496323</f>
        <v/>
      </c>
      <c r="F21" s="15">
        <f>0</f>
        <v/>
      </c>
      <c r="H21" s="15">
        <f>E21/B21</f>
        <v/>
      </c>
      <c r="I21" s="15">
        <f>F21/C21</f>
        <v/>
      </c>
    </row>
    <row r="22" hidden="1" outlineLevel="1" s="11">
      <c r="A22" s="15" t="inlineStr">
        <is>
          <t>Магазин ALA49 г.Алматы ТОО Скиф Трейд</t>
        </is>
      </c>
      <c r="B22" s="15" t="n">
        <v>4</v>
      </c>
      <c r="C22" s="15" t="n"/>
      <c r="E22" s="15">
        <f>576172</f>
        <v/>
      </c>
      <c r="F22" s="15">
        <f>0</f>
        <v/>
      </c>
      <c r="H22" s="15">
        <f>E22/B22</f>
        <v/>
      </c>
      <c r="I22" s="15">
        <f>F22/C22</f>
        <v/>
      </c>
    </row>
    <row r="23" hidden="1" outlineLevel="1" s="11">
      <c r="A23" s="15" t="inlineStr">
        <is>
          <t>Магазин ALA31 г.Алматы ТОО Скиф Трейд</t>
        </is>
      </c>
      <c r="B23" s="15" t="n">
        <v>4</v>
      </c>
      <c r="C23" s="15" t="n"/>
      <c r="E23" s="15">
        <f>450650</f>
        <v/>
      </c>
      <c r="F23" s="15">
        <f>0</f>
        <v/>
      </c>
      <c r="H23" s="15">
        <f>E23/B23</f>
        <v/>
      </c>
      <c r="I23" s="15">
        <f>F23/C23</f>
        <v/>
      </c>
    </row>
    <row r="24" hidden="1" outlineLevel="1" s="11">
      <c r="A24" s="15" t="inlineStr">
        <is>
          <t>Магазин ALA28 г.Алматы ТОО Скиф Трейд</t>
        </is>
      </c>
      <c r="B24" s="15" t="n">
        <v>5</v>
      </c>
      <c r="C24" s="15" t="n"/>
      <c r="E24" s="15">
        <f>635126</f>
        <v/>
      </c>
      <c r="F24" s="15">
        <f>0</f>
        <v/>
      </c>
      <c r="H24" s="15">
        <f>E24/B24</f>
        <v/>
      </c>
      <c r="I24" s="15">
        <f>F24/C24</f>
        <v/>
      </c>
    </row>
    <row r="25" hidden="1" outlineLevel="1" s="11">
      <c r="A25" s="15" t="inlineStr">
        <is>
          <t>Магазин ALA24 г.Алматы ТОО Скиф Трейд</t>
        </is>
      </c>
      <c r="B25" s="15" t="n"/>
      <c r="C25" s="15" t="n">
        <v>0</v>
      </c>
      <c r="E25" s="15">
        <f>0</f>
        <v/>
      </c>
      <c r="F25" s="15">
        <f>0</f>
        <v/>
      </c>
      <c r="H25" s="15">
        <f>E25/B25</f>
        <v/>
      </c>
      <c r="I25" s="15">
        <f>F25/C25</f>
        <v/>
      </c>
    </row>
    <row r="26" hidden="1" outlineLevel="1" s="11">
      <c r="A26" s="15" t="inlineStr">
        <is>
          <t>ОФИС</t>
        </is>
      </c>
      <c r="B26" s="15" t="n"/>
      <c r="C26" s="15" t="n">
        <v>0</v>
      </c>
      <c r="E26" s="15">
        <f>0</f>
        <v/>
      </c>
      <c r="F26" s="15">
        <f>0</f>
        <v/>
      </c>
      <c r="H26" s="15">
        <f>E26/B26</f>
        <v/>
      </c>
      <c r="I26" s="15">
        <f>F26/C26</f>
        <v/>
      </c>
    </row>
    <row r="27">
      <c r="A27" s="16" t="inlineStr">
        <is>
          <t>ИТОГО:</t>
        </is>
      </c>
      <c r="B27" s="16">
        <f>B11</f>
        <v/>
      </c>
      <c r="C27" s="16">
        <f>C11</f>
        <v/>
      </c>
      <c r="E27" s="16">
        <f>E11</f>
        <v/>
      </c>
      <c r="F27" s="16">
        <f>F11</f>
        <v/>
      </c>
      <c r="H27" s="16">
        <f>E27/B27</f>
        <v/>
      </c>
      <c r="I27" s="16">
        <f>F27/C27</f>
        <v/>
      </c>
    </row>
  </sheetData>
  <mergeCells count="4">
    <mergeCell ref="B6:C6"/>
    <mergeCell ref="A1:E1"/>
    <mergeCell ref="E6:F6"/>
    <mergeCell ref="H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2024-10-19T12:11:19Z</dcterms:created>
  <dcterms:modified xsi:type="dcterms:W3CDTF">2024-10-19T12:11:20Z</dcterms:modified>
</cp:coreProperties>
</file>